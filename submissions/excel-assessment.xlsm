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Up-DA-Assessment-2024\"/>
    </mc:Choice>
  </mc:AlternateContent>
  <xr:revisionPtr revIDLastSave="0" documentId="13_ncr:1_{943EBF7D-144A-4555-A7FA-FF2089FB60CE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H41" i="1" l="1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/>
</calcChain>
</file>

<file path=xl/sharedStrings.xml><?xml version="1.0" encoding="utf-8"?>
<sst xmlns="http://schemas.openxmlformats.org/spreadsheetml/2006/main" count="401" uniqueCount="178">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</sst>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71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35" activePane="bottomLeft" state="frozen"/>
      <selection activeCell="U1" sqref="U1"/>
      <selection pane="bottomLeft" activeCell="Z33" sqref="Z33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5">
      <c r="H41" s="1">
        <f>SUMIF(H2:H40, "&gt;20")</f>
        <v>1473.0000000000002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2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3" sqref="B3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Dataset!G2</f>
        <v>2.7</v>
      </c>
      <c r="C6" s="12">
        <f>Dataset!N2</f>
        <v>7.6</v>
      </c>
      <c r="D6" s="12">
        <f>Dataset!R2</f>
        <v>4.2</v>
      </c>
      <c r="E6" s="12">
        <f>Dataset!T2</f>
        <v>8.9</v>
      </c>
      <c r="F6" s="8">
        <f>Dataset!V2</f>
        <v>4.2</v>
      </c>
    </row>
    <row r="7" spans="1:7" ht="14.5" x14ac:dyDescent="0.35">
      <c r="A7" s="7" t="s">
        <v>4</v>
      </c>
      <c r="B7" s="12">
        <f>Dataset!G3</f>
        <v>2.7</v>
      </c>
      <c r="C7" s="12">
        <f>Dataset!N3</f>
        <v>7.6</v>
      </c>
      <c r="D7" s="12">
        <f>Dataset!R3</f>
        <v>4.2</v>
      </c>
      <c r="E7" s="12">
        <f>Dataset!T3</f>
        <v>8.9</v>
      </c>
      <c r="F7" s="8">
        <f>Dataset!V3</f>
        <v>4.2</v>
      </c>
    </row>
    <row r="8" spans="1:7" ht="14.5" x14ac:dyDescent="0.35">
      <c r="A8" s="7" t="s">
        <v>7</v>
      </c>
      <c r="B8" s="12">
        <f>Dataset!G4</f>
        <v>3.6</v>
      </c>
      <c r="C8" s="12">
        <f>Dataset!N4</f>
        <v>11.1</v>
      </c>
      <c r="D8" s="12">
        <f>Dataset!R4</f>
        <v>5.8</v>
      </c>
      <c r="E8" s="12">
        <f>Dataset!T4</f>
        <v>12.2</v>
      </c>
      <c r="F8" s="8">
        <f>Dataset!V4</f>
        <v>5.8</v>
      </c>
    </row>
    <row r="9" spans="1:7" ht="14.5" x14ac:dyDescent="0.35">
      <c r="A9" s="7" t="s">
        <v>8</v>
      </c>
      <c r="B9" s="12">
        <f>Dataset!G5</f>
        <v>4.9000000000000004</v>
      </c>
      <c r="C9" s="12">
        <f>Dataset!N5</f>
        <v>13.3</v>
      </c>
      <c r="D9" s="12">
        <f>Dataset!R5</f>
        <v>8.1</v>
      </c>
      <c r="E9" s="12">
        <f>Dataset!T5</f>
        <v>17</v>
      </c>
      <c r="F9" s="8">
        <f>Dataset!V5</f>
        <v>8.1</v>
      </c>
    </row>
    <row r="10" spans="1:7" ht="14.5" x14ac:dyDescent="0.35">
      <c r="A10" s="7" t="s">
        <v>11</v>
      </c>
      <c r="B10" s="12">
        <f>Dataset!G6</f>
        <v>6.6</v>
      </c>
      <c r="C10" s="12">
        <f>Dataset!N6</f>
        <v>18</v>
      </c>
      <c r="D10" s="12">
        <f>Dataset!R6</f>
        <v>11</v>
      </c>
      <c r="E10" s="12">
        <f>Dataset!T6</f>
        <v>22.5</v>
      </c>
      <c r="F10" s="8">
        <f>Dataset!V6</f>
        <v>11</v>
      </c>
    </row>
    <row r="11" spans="1:7" ht="14.5" x14ac:dyDescent="0.35">
      <c r="A11" s="7" t="s">
        <v>12</v>
      </c>
      <c r="B11" s="12">
        <f>Dataset!G7</f>
        <v>7.1</v>
      </c>
      <c r="C11" s="12">
        <f>Dataset!N7</f>
        <v>21.5</v>
      </c>
      <c r="D11" s="12">
        <f>Dataset!R7</f>
        <v>12.8</v>
      </c>
      <c r="E11" s="12">
        <f>Dataset!T7</f>
        <v>26.1</v>
      </c>
      <c r="F11" s="8">
        <f>Dataset!V7</f>
        <v>12.8</v>
      </c>
    </row>
    <row r="12" spans="1:7" ht="14.5" x14ac:dyDescent="0.35">
      <c r="A12" s="7" t="s">
        <v>14</v>
      </c>
      <c r="B12" s="12">
        <f>Dataset!G8</f>
        <v>9.4</v>
      </c>
      <c r="C12" s="12">
        <f>Dataset!N8</f>
        <v>28.3</v>
      </c>
      <c r="D12" s="12">
        <f>Dataset!R8</f>
        <v>16.100000000000001</v>
      </c>
      <c r="E12" s="12">
        <f>Dataset!T8</f>
        <v>32.799999999999997</v>
      </c>
      <c r="F12" s="8">
        <f>Dataset!V8</f>
        <v>16.100000000000001</v>
      </c>
    </row>
    <row r="13" spans="1:7" ht="14.5" x14ac:dyDescent="0.35">
      <c r="A13" s="7" t="s">
        <v>15</v>
      </c>
      <c r="B13" s="12">
        <f>Dataset!G9</f>
        <v>11.6</v>
      </c>
      <c r="C13" s="12">
        <f>Dataset!N9</f>
        <v>35.200000000000003</v>
      </c>
      <c r="D13" s="12">
        <f>Dataset!R9</f>
        <v>21.3</v>
      </c>
      <c r="E13" s="12">
        <f>Dataset!T9</f>
        <v>43</v>
      </c>
      <c r="F13" s="8">
        <f>Dataset!V9</f>
        <v>21.3</v>
      </c>
    </row>
    <row r="14" spans="1:7" ht="14.5" x14ac:dyDescent="0.35">
      <c r="A14" s="7" t="s">
        <v>16</v>
      </c>
      <c r="B14" s="12">
        <f>Dataset!G10</f>
        <v>16.100000000000001</v>
      </c>
      <c r="C14" s="12">
        <f>Dataset!N10</f>
        <v>49</v>
      </c>
      <c r="D14" s="12">
        <f>Dataset!R10</f>
        <v>29.1</v>
      </c>
      <c r="E14" s="12">
        <f>Dataset!T10</f>
        <v>59</v>
      </c>
      <c r="F14" s="8">
        <f>Dataset!V10</f>
        <v>29.1</v>
      </c>
    </row>
    <row r="15" spans="1:7" ht="14.5" x14ac:dyDescent="0.35">
      <c r="A15" s="7" t="s">
        <v>18</v>
      </c>
      <c r="B15" s="12">
        <f>Dataset!G11</f>
        <v>18.399999999999999</v>
      </c>
      <c r="C15" s="12">
        <f>Dataset!N11</f>
        <v>55.6</v>
      </c>
      <c r="D15" s="12">
        <f>Dataset!R11</f>
        <v>33.799999999999997</v>
      </c>
      <c r="E15" s="12">
        <f>Dataset!T11</f>
        <v>67.900000000000006</v>
      </c>
      <c r="F15" s="8">
        <f>Dataset!V11</f>
        <v>33.799999999999997</v>
      </c>
    </row>
    <row r="16" spans="1:7" ht="14.5" x14ac:dyDescent="0.35">
      <c r="A16" s="7" t="s">
        <v>20</v>
      </c>
      <c r="B16" s="12">
        <f>Dataset!G12</f>
        <v>0</v>
      </c>
      <c r="C16" s="12">
        <f>Dataset!N12</f>
        <v>0</v>
      </c>
      <c r="D16" s="12">
        <f>Dataset!R12</f>
        <v>0</v>
      </c>
      <c r="E16" s="12">
        <f>Dataset!T12</f>
        <v>0</v>
      </c>
      <c r="F16" s="8">
        <f>Dataset!V12</f>
        <v>0</v>
      </c>
    </row>
    <row r="17" spans="1:6" ht="14.5" x14ac:dyDescent="0.35">
      <c r="A17" s="7" t="s">
        <v>22</v>
      </c>
      <c r="B17" s="12">
        <f>Dataset!G13</f>
        <v>21.9</v>
      </c>
      <c r="C17" s="12">
        <f>Dataset!N13</f>
        <v>61.5</v>
      </c>
      <c r="D17" s="12">
        <f>Dataset!R13</f>
        <v>40.1</v>
      </c>
      <c r="E17" s="12">
        <f>Dataset!T13</f>
        <v>76.599999999999994</v>
      </c>
      <c r="F17" s="8">
        <f>Dataset!V13</f>
        <v>40.1</v>
      </c>
    </row>
    <row r="18" spans="1:6" ht="14.5" x14ac:dyDescent="0.35">
      <c r="A18" s="7" t="s">
        <v>23</v>
      </c>
      <c r="B18" s="12">
        <f>Dataset!G14</f>
        <v>23.5</v>
      </c>
      <c r="C18" s="12">
        <f>Dataset!N14</f>
        <v>70.8</v>
      </c>
      <c r="D18" s="12">
        <f>Dataset!R14</f>
        <v>42.7</v>
      </c>
      <c r="E18" s="12">
        <f>Dataset!T14</f>
        <v>86.6</v>
      </c>
      <c r="F18" s="8">
        <f>Dataset!V14</f>
        <v>42.7</v>
      </c>
    </row>
    <row r="19" spans="1:6" ht="14.5" x14ac:dyDescent="0.35">
      <c r="A19" s="7" t="s">
        <v>24</v>
      </c>
      <c r="B19" s="12">
        <f>Dataset!G15</f>
        <v>26.8</v>
      </c>
      <c r="C19" s="12">
        <f>Dataset!N15</f>
        <v>79.599999999999994</v>
      </c>
      <c r="D19" s="12">
        <f>Dataset!R15</f>
        <v>47.9</v>
      </c>
      <c r="E19" s="12">
        <f>Dataset!T15</f>
        <v>96.8</v>
      </c>
      <c r="F19" s="8">
        <f>Dataset!V15</f>
        <v>47.9</v>
      </c>
    </row>
    <row r="20" spans="1:6" ht="14.5" x14ac:dyDescent="0.35">
      <c r="A20" s="7" t="s">
        <v>28</v>
      </c>
      <c r="B20" s="12">
        <f>Dataset!G16</f>
        <v>28</v>
      </c>
      <c r="C20" s="12">
        <f>Dataset!N16</f>
        <v>83.2</v>
      </c>
      <c r="D20" s="12">
        <f>Dataset!R16</f>
        <v>50.1</v>
      </c>
      <c r="E20" s="12">
        <f>Dataset!T16</f>
        <v>101.3</v>
      </c>
      <c r="F20" s="8">
        <f>Dataset!V16</f>
        <v>50.1</v>
      </c>
    </row>
    <row r="21" spans="1:6" ht="14.5" x14ac:dyDescent="0.35">
      <c r="A21" s="7" t="s">
        <v>57</v>
      </c>
      <c r="B21" s="12">
        <f>Dataset!G17</f>
        <v>28.5</v>
      </c>
      <c r="C21" s="12">
        <f>Dataset!N17</f>
        <v>85.4</v>
      </c>
      <c r="D21" s="12">
        <f>Dataset!R17</f>
        <v>52.3</v>
      </c>
      <c r="E21" s="12">
        <f>Dataset!T17</f>
        <v>106.1</v>
      </c>
      <c r="F21" s="8">
        <f>Dataset!V17</f>
        <v>52.3</v>
      </c>
    </row>
    <row r="22" spans="1:6" ht="14.5" x14ac:dyDescent="0.35">
      <c r="A22" s="7" t="s">
        <v>58</v>
      </c>
      <c r="B22" s="12">
        <f>Dataset!G18</f>
        <v>29.1</v>
      </c>
      <c r="C22" s="12">
        <f>Dataset!N18</f>
        <v>87.6</v>
      </c>
      <c r="D22" s="12">
        <f>Dataset!R18</f>
        <v>53.7</v>
      </c>
      <c r="E22" s="12">
        <f>Dataset!T18</f>
        <v>108.8</v>
      </c>
      <c r="F22" s="8">
        <f>Dataset!V18</f>
        <v>53.7</v>
      </c>
    </row>
    <row r="23" spans="1:6" ht="14.5" x14ac:dyDescent="0.35">
      <c r="A23" s="7" t="s">
        <v>31</v>
      </c>
      <c r="B23" s="12">
        <f>Dataset!G19</f>
        <v>30.7</v>
      </c>
      <c r="C23" s="12">
        <f>Dataset!N19</f>
        <v>92.1</v>
      </c>
      <c r="D23" s="12">
        <f>Dataset!R19</f>
        <v>57</v>
      </c>
      <c r="E23" s="12">
        <f>Dataset!T19</f>
        <v>115.1</v>
      </c>
      <c r="F23" s="8">
        <f>Dataset!V19</f>
        <v>57</v>
      </c>
    </row>
    <row r="24" spans="1:6" ht="14.5" x14ac:dyDescent="0.35">
      <c r="A24" s="7" t="s">
        <v>32</v>
      </c>
      <c r="B24" s="12">
        <f>Dataset!G20</f>
        <v>33.799999999999997</v>
      </c>
      <c r="C24" s="12">
        <f>Dataset!N20</f>
        <v>101.3</v>
      </c>
      <c r="D24" s="12">
        <f>Dataset!R20</f>
        <v>61.4</v>
      </c>
      <c r="E24" s="12">
        <f>Dataset!T20</f>
        <v>124.4</v>
      </c>
      <c r="F24" s="8">
        <f>Dataset!V20</f>
        <v>61.4</v>
      </c>
    </row>
    <row r="25" spans="1:6" ht="14.5" x14ac:dyDescent="0.35">
      <c r="A25" s="7" t="s">
        <v>34</v>
      </c>
      <c r="B25" s="12">
        <f>Dataset!G21</f>
        <v>34.700000000000003</v>
      </c>
      <c r="C25" s="12">
        <f>Dataset!N21</f>
        <v>106.1</v>
      </c>
      <c r="D25" s="12">
        <f>Dataset!R21</f>
        <v>63.6</v>
      </c>
      <c r="E25" s="12">
        <f>Dataset!T21</f>
        <v>128.6</v>
      </c>
      <c r="F25" s="8">
        <f>Dataset!V21</f>
        <v>63.6</v>
      </c>
    </row>
    <row r="26" spans="1:6" ht="14.5" x14ac:dyDescent="0.35">
      <c r="A26" s="7" t="s">
        <v>37</v>
      </c>
      <c r="B26" s="12">
        <f>Dataset!G22</f>
        <v>36.5</v>
      </c>
      <c r="C26" s="12">
        <f>Dataset!N22</f>
        <v>110.3</v>
      </c>
      <c r="D26" s="12">
        <f>Dataset!R22</f>
        <v>65.900000000000006</v>
      </c>
      <c r="E26" s="12">
        <f>Dataset!T22</f>
        <v>133.4</v>
      </c>
      <c r="F26" s="8">
        <f>Dataset!V22</f>
        <v>65.900000000000006</v>
      </c>
    </row>
    <row r="27" spans="1:6" ht="14.5" x14ac:dyDescent="0.35">
      <c r="A27" s="7" t="s">
        <v>39</v>
      </c>
      <c r="B27" s="12">
        <f>Dataset!G23</f>
        <v>38</v>
      </c>
      <c r="C27" s="12">
        <f>Dataset!N23</f>
        <v>115.5</v>
      </c>
      <c r="D27" s="12">
        <f>Dataset!R23</f>
        <v>68.7</v>
      </c>
      <c r="E27" s="12">
        <f>Dataset!T23</f>
        <v>138.80000000000001</v>
      </c>
      <c r="F27" s="8">
        <f>Dataset!V23</f>
        <v>68.7</v>
      </c>
    </row>
    <row r="28" spans="1:6" ht="14.5" x14ac:dyDescent="0.35">
      <c r="A28" s="19" t="s">
        <v>82</v>
      </c>
      <c r="B28" s="31">
        <f>MIN(B6:B27)</f>
        <v>0</v>
      </c>
      <c r="C28" s="31">
        <f>MIN(C6:C27)</f>
        <v>0</v>
      </c>
      <c r="D28" s="31">
        <f>MIN(D6:D27)</f>
        <v>0</v>
      </c>
      <c r="E28" s="31">
        <f>MIN(E6:E27)</f>
        <v>0</v>
      </c>
      <c r="F28" s="31">
        <f>MIN(F6:F27)</f>
        <v>0</v>
      </c>
    </row>
    <row r="29" spans="1:6" ht="14.5" x14ac:dyDescent="0.35">
      <c r="A29" s="19" t="s">
        <v>83</v>
      </c>
      <c r="B29" s="31">
        <f>MAX(B6:B27)</f>
        <v>38</v>
      </c>
      <c r="C29" s="31">
        <f>MAX(C6:C27)</f>
        <v>115.5</v>
      </c>
      <c r="D29" s="31">
        <f>MAX(D6:D27)</f>
        <v>68.7</v>
      </c>
      <c r="E29" s="31">
        <f>MAX(E6:E27)</f>
        <v>138.80000000000001</v>
      </c>
      <c r="F29" s="31">
        <f>MAX(F6:F27)</f>
        <v>68.7</v>
      </c>
    </row>
    <row r="30" spans="1:6" ht="14.5" x14ac:dyDescent="0.35">
      <c r="A30" s="19" t="s">
        <v>84</v>
      </c>
      <c r="B30" s="31">
        <f>AVERAGE(B6:B27)</f>
        <v>18.845454545454547</v>
      </c>
      <c r="C30" s="31">
        <f>AVERAGE(C6:C27)</f>
        <v>56.390909090909098</v>
      </c>
      <c r="D30" s="31">
        <f>AVERAGE(D6:D27)</f>
        <v>34.081818181818186</v>
      </c>
      <c r="E30" s="31">
        <f>AVERAGE(E6:E27)</f>
        <v>68.854545454545459</v>
      </c>
      <c r="F30" s="31">
        <f>AVERAGE(F6:F27)</f>
        <v>34.081818181818186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G18" sqref="G1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153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6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167</v>
      </c>
    </row>
    <row r="2" spans="1:3" ht="18.5" x14ac:dyDescent="0.45">
      <c r="B2" s="40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>
        <v>20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>
        <v>20</v>
      </c>
    </row>
    <row r="22" spans="1:3" ht="14.5" x14ac:dyDescent="0.35">
      <c r="B22" s="17" t="s">
        <v>159</v>
      </c>
      <c r="C22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6" zoomScaleNormal="100" workbookViewId="0"/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/>
    </row>
    <row r="24" spans="1:14" ht="14.5" x14ac:dyDescent="0.35">
      <c r="A24" s="7">
        <v>10100</v>
      </c>
      <c r="B24" s="12">
        <v>10104</v>
      </c>
      <c r="C24" s="44"/>
    </row>
    <row r="25" spans="1:14" ht="14.5" x14ac:dyDescent="0.35">
      <c r="A25" s="7">
        <v>10108</v>
      </c>
      <c r="B25" s="12">
        <v>10102</v>
      </c>
      <c r="C25" s="44"/>
    </row>
    <row r="26" spans="1:14" ht="14.5" x14ac:dyDescent="0.35">
      <c r="A26" s="7">
        <v>10100</v>
      </c>
      <c r="B26" s="12">
        <v>10106</v>
      </c>
      <c r="C26" s="44"/>
    </row>
    <row r="27" spans="1:14" ht="14.5" x14ac:dyDescent="0.35">
      <c r="A27" s="7">
        <v>10108</v>
      </c>
      <c r="B27" s="12">
        <v>10110</v>
      </c>
      <c r="C27" s="44"/>
    </row>
    <row r="28" spans="1:14" ht="14.5" x14ac:dyDescent="0.35">
      <c r="A28" s="7">
        <v>10102</v>
      </c>
      <c r="B28" s="12">
        <v>10104</v>
      </c>
      <c r="C28" s="44"/>
    </row>
    <row r="29" spans="1:14" ht="14.5" x14ac:dyDescent="0.35">
      <c r="A29" s="7">
        <v>10106</v>
      </c>
      <c r="B29" s="12">
        <v>10108</v>
      </c>
      <c r="C29" s="44"/>
    </row>
    <row r="30" spans="1:14" ht="14.5" x14ac:dyDescent="0.35">
      <c r="A30" s="7">
        <v>10102</v>
      </c>
      <c r="B30" s="12">
        <v>10106</v>
      </c>
      <c r="C30" s="44"/>
    </row>
    <row r="31" spans="1:14" ht="14.5" x14ac:dyDescent="0.35">
      <c r="A31" s="7">
        <v>10110</v>
      </c>
      <c r="B31" s="12">
        <v>10114</v>
      </c>
      <c r="C31" s="44"/>
    </row>
    <row r="32" spans="1:14" ht="14.5" x14ac:dyDescent="0.35">
      <c r="A32" s="7">
        <v>10104</v>
      </c>
      <c r="B32" s="12">
        <v>10106</v>
      </c>
      <c r="C32" s="44"/>
    </row>
    <row r="33" spans="1:3" ht="14.5" x14ac:dyDescent="0.35">
      <c r="A33" s="7">
        <v>10110</v>
      </c>
      <c r="B33" s="12">
        <v>10112</v>
      </c>
      <c r="C33" s="44"/>
    </row>
    <row r="34" spans="1:3" ht="14.5" x14ac:dyDescent="0.35">
      <c r="A34" s="7">
        <v>10100</v>
      </c>
      <c r="B34" s="12">
        <v>10114</v>
      </c>
      <c r="C34" s="44"/>
    </row>
    <row r="35" spans="1:3" ht="14.5" x14ac:dyDescent="0.3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Piyush Wandile</cp:lastModifiedBy>
  <dcterms:created xsi:type="dcterms:W3CDTF">2015-02-10T17:33:11Z</dcterms:created>
  <dcterms:modified xsi:type="dcterms:W3CDTF">2024-10-24T09:17:22Z</dcterms:modified>
</cp:coreProperties>
</file>